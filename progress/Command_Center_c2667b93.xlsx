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napshot" sheetId="2" state="visible" r:id="rId2"/>
    <sheet xmlns:r="http://schemas.openxmlformats.org/officeDocument/2006/relationships" name="Projections" sheetId="3" state="visible" r:id="rId3"/>
    <sheet xmlns:r="http://schemas.openxmlformats.org/officeDocument/2006/relationships" name="Ramp" sheetId="4" state="visible" r:id="rId4"/>
    <sheet xmlns:r="http://schemas.openxmlformats.org/officeDocument/2006/relationships" name="80-20 Analysis" sheetId="5" state="visible" r:id="rId5"/>
    <sheet xmlns:r="http://schemas.openxmlformats.org/officeDocument/2006/relationships" name="ROI Tra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x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2" borderId="0" pivotButton="0" quotePrefix="0" xfId="0"/>
    <xf numFmtId="165" fontId="3" fillId="2" borderId="0" pivotButton="0" quotePrefix="0" xfId="0"/>
    <xf numFmtId="0" fontId="3" fillId="2" borderId="0" pivotButton="0" quotePrefix="0" xfId="0"/>
    <xf numFmtId="166" fontId="3" fillId="2" borderId="0" pivotButton="0" quotePrefix="0" xfId="0"/>
    <xf numFmtId="0" fontId="4" fillId="0" borderId="0" pivotButton="0" quotePrefix="0" xfId="0"/>
    <xf numFmtId="1" fontId="3" fillId="2" borderId="0" pivotButton="0" quotePrefix="0" xfId="0"/>
    <xf numFmtId="164" fontId="4" fillId="0" borderId="0" pivotButton="0" quotePrefix="0" xfId="0"/>
    <xf numFmtId="164" fontId="5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ClarityForge Digital — Assumptions (edit yellow cells)</t>
        </is>
      </c>
    </row>
    <row r="2">
      <c r="A2" t="inlineStr">
        <is>
          <t>Source: Command_Center_c2667b93.csv/MD, PLAN.md, batch 30, 90-day status | 2026-06-07</t>
        </is>
      </c>
    </row>
    <row r="4">
      <c r="A4" s="2" t="inlineStr">
        <is>
          <t>Assumption</t>
        </is>
      </c>
      <c r="B4" s="2" t="inlineStr">
        <is>
          <t>Value</t>
        </is>
      </c>
      <c r="C4" s="2" t="inlineStr">
        <is>
          <t>Unit</t>
        </is>
      </c>
      <c r="D4" s="2" t="inlineStr">
        <is>
          <t>Notes</t>
        </is>
      </c>
    </row>
    <row r="5">
      <c r="A5" t="inlineStr">
        <is>
          <t>Monthly Ad Budget ($)</t>
        </is>
      </c>
      <c r="B5" s="3" t="n">
        <v>110</v>
      </c>
      <c r="C5" t="inlineStr">
        <is>
          <t>$</t>
        </is>
      </c>
      <c r="D5" t="inlineStr">
        <is>
          <t>Winners only; 80/20 gate</t>
        </is>
      </c>
    </row>
    <row r="6">
      <c r="A6" t="inlineStr">
        <is>
          <t>Target AOV ($)</t>
        </is>
      </c>
      <c r="B6" s="3" t="n">
        <v>18</v>
      </c>
      <c r="C6" t="inlineStr">
        <is>
          <t>$</t>
        </is>
      </c>
      <c r="D6" t="inlineStr">
        <is>
          <t>Command_Center CSV</t>
        </is>
      </c>
    </row>
    <row r="7">
      <c r="A7" t="inlineStr">
        <is>
          <t>Etsy Effective Take Rate</t>
        </is>
      </c>
      <c r="B7" s="4" t="n">
        <v>0.22</v>
      </c>
      <c r="C7" t="inlineStr">
        <is>
          <t>%</t>
        </is>
      </c>
      <c r="D7" t="inlineStr">
        <is>
          <t>Fees + offsite ads</t>
        </is>
      </c>
    </row>
    <row r="8">
      <c r="A8" t="inlineStr">
        <is>
          <t>Payhip Take Rate</t>
        </is>
      </c>
      <c r="B8" s="4" t="n">
        <v>0.08</v>
      </c>
      <c r="C8" t="inlineStr">
        <is>
          <t>%</t>
        </is>
      </c>
      <c r="D8" t="inlineStr">
        <is>
          <t>Owned traffic</t>
        </is>
      </c>
    </row>
    <row r="9">
      <c r="A9" t="inlineStr">
        <is>
          <t>View-to-Sale Conversion</t>
        </is>
      </c>
      <c r="B9" s="4" t="n">
        <v>0.025</v>
      </c>
      <c r="C9" t="inlineStr">
        <is>
          <t>%</t>
        </is>
      </c>
      <c r="D9" t="inlineStr">
        <is>
          <t>Optimized listings</t>
        </is>
      </c>
    </row>
    <row r="10">
      <c r="A10" t="inlineStr">
        <is>
          <t>New Listings / Week</t>
        </is>
      </c>
      <c r="B10" s="5" t="n">
        <v>12</v>
      </c>
      <c r="C10" t="inlineStr">
        <is>
          <t>#</t>
        </is>
      </c>
      <c r="D10" t="inlineStr">
        <is>
          <t>Generator + image_gen</t>
        </is>
      </c>
    </row>
    <row r="11">
      <c r="A11" t="inlineStr">
        <is>
          <t>Monthly Budget Cap ($)</t>
        </is>
      </c>
      <c r="B11" s="3" t="n">
        <v>200</v>
      </c>
      <c r="C11" t="inlineStr">
        <is>
          <t>$</t>
        </is>
      </c>
      <c r="D11" t="inlineStr">
        <is>
          <t>PLAN guardrail</t>
        </is>
      </c>
    </row>
    <row r="12">
      <c r="A12" t="inlineStr">
        <is>
          <t>Etsy Listing Fee ($)</t>
        </is>
      </c>
      <c r="B12" s="3" t="n">
        <v>0.2</v>
      </c>
      <c r="C12" t="inlineStr">
        <is>
          <t>$</t>
        </is>
      </c>
      <c r="D12" t="inlineStr">
        <is>
          <t>Per listing</t>
        </is>
      </c>
    </row>
    <row r="13">
      <c r="A13" t="inlineStr">
        <is>
          <t>Projection Months</t>
        </is>
      </c>
      <c r="B13" s="5" t="n">
        <v>3</v>
      </c>
      <c r="C13" t="inlineStr">
        <is>
          <t>#</t>
        </is>
      </c>
      <c r="D13" t="inlineStr">
        <is>
          <t>90-day window</t>
        </is>
      </c>
    </row>
    <row r="14">
      <c r="A14" t="inlineStr">
        <is>
          <t>Orders / Listing / Mo (Base)</t>
        </is>
      </c>
      <c r="B14" s="5" t="n">
        <v>1.5</v>
      </c>
      <c r="C14" t="inlineStr">
        <is>
          <t>#</t>
        </is>
      </c>
      <c r="D14" t="inlineStr">
        <is>
          <t>Base scenario</t>
        </is>
      </c>
    </row>
    <row r="15">
      <c r="A15" t="inlineStr">
        <is>
          <t>Orders / Listing / Mo (Aggr)</t>
        </is>
      </c>
      <c r="B15" s="5" t="n">
        <v>2.39</v>
      </c>
      <c r="C15" t="inlineStr">
        <is>
          <t>#</t>
        </is>
      </c>
      <c r="D15" t="inlineStr">
        <is>
          <t>Aggressive</t>
        </is>
      </c>
    </row>
    <row r="16">
      <c r="A16" t="inlineStr">
        <is>
          <t>Orders / Listing / Mo (Moon)</t>
        </is>
      </c>
      <c r="B16" s="5" t="n">
        <v>2.77</v>
      </c>
      <c r="C16" t="inlineStr">
        <is>
          <t>#</t>
        </is>
      </c>
      <c r="D16" t="inlineStr">
        <is>
          <t>Moonshot</t>
        </is>
      </c>
    </row>
    <row r="17">
      <c r="A17" t="inlineStr">
        <is>
          <t>Ad ROAS Gate (min)</t>
        </is>
      </c>
      <c r="B17" s="6" t="n">
        <v>2.5</v>
      </c>
      <c r="C17" t="inlineStr">
        <is>
          <t>x</t>
        </is>
      </c>
      <c r="D17" t="inlineStr">
        <is>
          <t>Spend threshold</t>
        </is>
      </c>
    </row>
    <row r="18">
      <c r="A18" t="inlineStr">
        <is>
          <t>Winner SKU Share</t>
        </is>
      </c>
      <c r="B18" s="4" t="n">
        <v>0.2</v>
      </c>
      <c r="C18" t="inlineStr">
        <is>
          <t>%</t>
        </is>
      </c>
      <c r="D18" t="inlineStr">
        <is>
          <t>Top 20% SKUs</t>
        </is>
      </c>
    </row>
    <row r="19">
      <c r="A19" t="inlineStr">
        <is>
          <t>Winner Revenue Share</t>
        </is>
      </c>
      <c r="B19" s="4" t="n">
        <v>0.8</v>
      </c>
      <c r="C19" t="inlineStr">
        <is>
          <t>%</t>
        </is>
      </c>
      <c r="D19" t="inlineStr">
        <is>
          <t>Pareto target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Snapshot — c2667b93 audit fix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t="inlineStr">
        <is>
          <t>Report Date</t>
        </is>
      </c>
      <c r="B4" t="inlineStr">
        <is>
          <t>2026-06-07</t>
        </is>
      </c>
    </row>
    <row r="5">
      <c r="A5" t="inlineStr">
        <is>
          <t>AUTON ID</t>
        </is>
      </c>
      <c r="B5" t="inlineStr">
        <is>
          <t>c2667b93</t>
        </is>
      </c>
    </row>
    <row r="6">
      <c r="A6" t="inlineStr">
        <is>
          <t>Local Directory</t>
        </is>
      </c>
      <c r="B6" t="inlineStr">
        <is>
          <t>/home/Irikash/ClarityForge_Digital</t>
        </is>
      </c>
    </row>
    <row r="7">
      <c r="A7" t="inlineStr">
        <is>
          <t>Clone / GitHub</t>
        </is>
      </c>
      <c r="B7" t="inlineStr">
        <is>
          <t>sespear86/clarityforge-digital</t>
        </is>
      </c>
    </row>
    <row r="8">
      <c r="A8" t="inlineStr">
        <is>
          <t>90-Day Goal</t>
        </is>
      </c>
      <c r="B8" t="inlineStr">
        <is>
          <t>$40,000 revenue (PLAN)</t>
        </is>
      </c>
    </row>
    <row r="9">
      <c r="A9" t="inlineStr">
        <is>
          <t>Budget Cap</t>
        </is>
      </c>
      <c r="B9" s="7">
        <f>Assumptions!B11</f>
        <v/>
      </c>
    </row>
    <row r="10">
      <c r="A10" t="inlineStr">
        <is>
          <t>Phase</t>
        </is>
      </c>
      <c r="B10" t="inlineStr">
        <is>
          <t>Phase 1 — Days 1-14 foundation + velocity</t>
        </is>
      </c>
    </row>
    <row r="11">
      <c r="A11" t="inlineStr">
        <is>
          <t>Seed Etsy Listings</t>
        </is>
      </c>
      <c r="B11" t="n">
        <v>3</v>
      </c>
    </row>
    <row r="12">
      <c r="A12" t="inlineStr">
        <is>
          <t>Ideas Generated</t>
        </is>
      </c>
      <c r="B12" t="n">
        <v>30</v>
      </c>
    </row>
    <row r="13">
      <c r="A13" t="inlineStr">
        <is>
          <t>Batch Listings Ready</t>
        </is>
      </c>
      <c r="B13" t="n">
        <v>30</v>
      </c>
    </row>
    <row r="14">
      <c r="A14" t="inlineStr">
        <is>
          <t>Assets (image_gen + subagents)</t>
        </is>
      </c>
      <c r="B14" t="n">
        <v>26</v>
      </c>
    </row>
    <row r="15">
      <c r="A15" t="inlineStr">
        <is>
          <t>Subagents</t>
        </is>
      </c>
      <c r="B15" t="inlineStr">
        <is>
          <t>Parallel batches (image, xlsx, sync)</t>
        </is>
      </c>
    </row>
    <row r="16">
      <c r="A16" t="inlineStr">
        <is>
          <t>Legal</t>
        </is>
      </c>
      <c r="B16" t="inlineStr">
        <is>
          <t>Disclosure enforced in batch JSON</t>
        </is>
      </c>
    </row>
    <row r="17">
      <c r="A17" t="inlineStr">
        <is>
          <t>90-Day Status</t>
        </is>
      </c>
      <c r="B17" t="inlineStr">
        <is>
          <t>Acceleration restart; xlsx + ramp fix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90-Day Scenarios (Base / Aggressive / Moonshot)</t>
        </is>
      </c>
    </row>
    <row r="3">
      <c r="C3" s="2" t="inlineStr">
        <is>
          <t>Scenario</t>
        </is>
      </c>
      <c r="D3" s="2" t="inlineStr">
        <is>
          <t>Listings</t>
        </is>
      </c>
      <c r="E3" s="2" t="inlineStr">
        <is>
          <t>Ord/Listing/Mo</t>
        </is>
      </c>
      <c r="F3" s="2" t="inlineStr">
        <is>
          <t>Months</t>
        </is>
      </c>
      <c r="G3" s="2" t="inlineStr">
        <is>
          <t>AOV</t>
        </is>
      </c>
      <c r="H3" s="2" t="inlineStr">
        <is>
          <t>Gross Rev</t>
        </is>
      </c>
      <c r="I3" s="2" t="inlineStr">
        <is>
          <t>Take Rate</t>
        </is>
      </c>
      <c r="J3" s="2" t="inlineStr">
        <is>
          <t>Net Rev</t>
        </is>
      </c>
      <c r="K3" s="2" t="inlineStr">
        <is>
          <t>Notes</t>
        </is>
      </c>
    </row>
    <row r="4">
      <c r="A4" t="inlineStr">
        <is>
          <t>Base</t>
        </is>
      </c>
      <c r="B4" s="8" t="n">
        <v>80</v>
      </c>
      <c r="C4" s="7">
        <f>Assumptions!B14</f>
        <v/>
      </c>
      <c r="D4" s="7">
        <f>Assumptions!B13</f>
        <v/>
      </c>
      <c r="E4" s="9">
        <f>Assumptions!B6</f>
        <v/>
      </c>
      <c r="F4" s="10">
        <f>B4*C4*E4*D4</f>
        <v/>
      </c>
      <c r="G4" s="11">
        <f>Assumptions!B7</f>
        <v/>
      </c>
      <c r="H4" s="10">
        <f>F4*(1-G4)</f>
        <v/>
      </c>
      <c r="I4" t="inlineStr">
        <is>
          <t>PLAN $3-8k band</t>
        </is>
      </c>
    </row>
    <row r="5">
      <c r="A5" t="inlineStr">
        <is>
          <t>Aggressive</t>
        </is>
      </c>
      <c r="B5" s="8" t="n">
        <v>150</v>
      </c>
      <c r="C5" s="7">
        <f>Assumptions!B15</f>
        <v/>
      </c>
      <c r="D5" s="7">
        <f>Assumptions!B13</f>
        <v/>
      </c>
      <c r="E5" s="9">
        <f>Assumptions!B6</f>
        <v/>
      </c>
      <c r="F5" s="10">
        <f>B5*C5*E5*D5</f>
        <v/>
      </c>
      <c r="G5" s="11">
        <f>Assumptions!B7</f>
        <v/>
      </c>
      <c r="H5" s="10">
        <f>F5*(1-G5)</f>
        <v/>
      </c>
      <c r="I5" t="inlineStr">
        <is>
          <t>PLAN $15-25k</t>
        </is>
      </c>
    </row>
    <row r="6">
      <c r="A6" t="inlineStr">
        <is>
          <t>Moonshot</t>
        </is>
      </c>
      <c r="B6" s="8" t="n">
        <v>250</v>
      </c>
      <c r="C6" s="7">
        <f>Assumptions!B16</f>
        <v/>
      </c>
      <c r="D6" s="7">
        <f>Assumptions!B13</f>
        <v/>
      </c>
      <c r="E6" s="9">
        <f>Assumptions!B6</f>
        <v/>
      </c>
      <c r="F6" s="10">
        <f>B6*C6*E6*D6</f>
        <v/>
      </c>
      <c r="G6" s="11">
        <f>Assumptions!B7</f>
        <v/>
      </c>
      <c r="H6" s="10">
        <f>F6*(1-G6)</f>
        <v/>
      </c>
      <c r="I6" t="inlineStr">
        <is>
          <t>PLAN $35k+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Ramp — June 2026 (current + audit fixes)</t>
        </is>
      </c>
    </row>
    <row r="4">
      <c r="D4" s="2" t="inlineStr">
        <is>
          <t>Month</t>
        </is>
      </c>
      <c r="E4" s="2" t="inlineStr">
        <is>
          <t>New Listings</t>
        </is>
      </c>
      <c r="F4" s="2" t="inlineStr">
        <is>
          <t>New Assets</t>
        </is>
      </c>
      <c r="G4" s="2" t="inlineStr">
        <is>
          <t>Cum Listings</t>
        </is>
      </c>
      <c r="H4" s="2" t="inlineStr">
        <is>
          <t>Cum Assets</t>
        </is>
      </c>
      <c r="I4" s="2" t="inlineStr">
        <is>
          <t>Orders</t>
        </is>
      </c>
      <c r="J4" s="2" t="inlineStr">
        <is>
          <t>AOV</t>
        </is>
      </c>
      <c r="K4" s="2" t="inlineStr">
        <is>
          <t>Gross</t>
        </is>
      </c>
      <c r="L4" s="2" t="inlineStr">
        <is>
          <t>Net</t>
        </is>
      </c>
      <c r="M4" s="2" t="inlineStr">
        <is>
          <t>Ad Spend</t>
        </is>
      </c>
      <c r="N4" s="2" t="inlineStr">
        <is>
          <t>Focus</t>
        </is>
      </c>
    </row>
    <row r="5">
      <c r="A5" t="inlineStr">
        <is>
          <t>2026-06</t>
        </is>
      </c>
      <c r="B5" s="8" t="n">
        <v>30</v>
      </c>
      <c r="C5" s="8" t="n">
        <v>26</v>
      </c>
      <c r="D5" s="12">
        <f>B5</f>
        <v/>
      </c>
      <c r="E5" s="12">
        <f>C5</f>
        <v/>
      </c>
      <c r="F5" s="8" t="n">
        <v>8</v>
      </c>
      <c r="G5" s="9">
        <f>Assumptions!B6</f>
        <v/>
      </c>
      <c r="H5" s="10">
        <f>F5*G5</f>
        <v/>
      </c>
      <c r="I5" s="10">
        <f>H5*(1-Assumptions!B7)</f>
        <v/>
      </c>
      <c r="J5" s="9">
        <f>Assumptions!B5</f>
        <v/>
      </c>
      <c r="K5" t="inlineStr">
        <is>
          <t>M1: +30 ideas, +26 assets, xlsx, local dir, subagents</t>
        </is>
      </c>
    </row>
    <row r="6">
      <c r="A6" t="inlineStr">
        <is>
          <t>2026-07</t>
        </is>
      </c>
      <c r="B6" s="8" t="n">
        <v>30</v>
      </c>
      <c r="C6" s="8" t="n">
        <v>20</v>
      </c>
      <c r="D6" s="12">
        <f>D5+B6</f>
        <v/>
      </c>
      <c r="E6" s="12">
        <f>E5+C6</f>
        <v/>
      </c>
      <c r="F6" s="8" t="n">
        <v>25</v>
      </c>
      <c r="G6" s="9">
        <f>Assumptions!B6</f>
        <v/>
      </c>
      <c r="H6" s="10">
        <f>F6*G6</f>
        <v/>
      </c>
      <c r="I6" s="10">
        <f>H6*(1-Assumptions!B7)</f>
        <v/>
      </c>
      <c r="J6" s="9">
        <f>Assumptions!B5</f>
        <v/>
      </c>
      <c r="K6" t="inlineStr">
        <is>
          <t>M2: 80+ listings; Pinterest; uploads</t>
        </is>
      </c>
    </row>
    <row r="7">
      <c r="A7" t="inlineStr">
        <is>
          <t>2026-08</t>
        </is>
      </c>
      <c r="B7" s="8" t="n">
        <v>35</v>
      </c>
      <c r="C7" s="8" t="n">
        <v>15</v>
      </c>
      <c r="D7" s="12">
        <f>D6+B7</f>
        <v/>
      </c>
      <c r="E7" s="12">
        <f>E6+C7</f>
        <v/>
      </c>
      <c r="F7" s="8" t="n">
        <v>30</v>
      </c>
      <c r="G7" s="9">
        <f>Assumptions!B6</f>
        <v/>
      </c>
      <c r="H7" s="10">
        <f>F7*G7</f>
        <v/>
      </c>
      <c r="I7" s="10">
        <f>H7*(1-Assumptions!B7)</f>
        <v/>
      </c>
      <c r="J7" s="9">
        <f>Assumptions!B5</f>
        <v/>
      </c>
      <c r="K7" t="inlineStr">
        <is>
          <t>M3: scale; ROAS-gated ads</t>
        </is>
      </c>
    </row>
    <row r="8">
      <c r="A8" s="2" t="inlineStr">
        <is>
          <t>Quarter</t>
        </is>
      </c>
      <c r="B8" s="13">
        <f>SUM(B5:B7)</f>
        <v/>
      </c>
      <c r="D8" s="13">
        <f>D7</f>
        <v/>
      </c>
      <c r="E8" s="13">
        <f>E7</f>
        <v/>
      </c>
      <c r="F8" s="13">
        <f>SUM(F5:F7)</f>
        <v/>
      </c>
      <c r="H8" s="13">
        <f>SUM(H5:H7)</f>
        <v/>
      </c>
      <c r="I8" s="13">
        <f>SUM(I5:I7)</f>
        <v/>
      </c>
      <c r="J8" s="13">
        <f>SUM(J5:J7)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80/20 — prioritize winners for ads</t>
        </is>
      </c>
    </row>
    <row r="4">
      <c r="D4" s="2" t="inlineStr">
        <is>
          <t>Rank</t>
        </is>
      </c>
      <c r="E4" s="2" t="inlineStr">
        <is>
          <t>Listing</t>
        </is>
      </c>
      <c r="F4" s="2" t="inlineStr">
        <is>
          <t>Mo Rev ($)</t>
        </is>
      </c>
      <c r="G4" s="2" t="inlineStr">
        <is>
          <t>Cum Rev</t>
        </is>
      </c>
      <c r="H4" s="2" t="inlineStr">
        <is>
          <t>Cum %</t>
        </is>
      </c>
      <c r="I4" s="2" t="inlineStr">
        <is>
          <t>Promote?</t>
        </is>
      </c>
    </row>
    <row r="5">
      <c r="A5" t="n">
        <v>1</v>
      </c>
      <c r="B5" t="inlineStr">
        <is>
          <t>ADHD Task Initiation Challenge</t>
        </is>
      </c>
      <c r="C5" s="3" t="n">
        <v>120</v>
      </c>
      <c r="D5" s="10">
        <f>SUM($C$5:C5)</f>
        <v/>
      </c>
      <c r="E5" s="14">
        <f>D5/$C$15</f>
        <v/>
      </c>
      <c r="F5" s="13">
        <f>IF(E5&lt;=Assumptions!B19,"YES","Hold")</f>
        <v/>
      </c>
    </row>
    <row r="6">
      <c r="A6" t="n">
        <v>2</v>
      </c>
      <c r="B6" t="inlineStr">
        <is>
          <t>Perimenopause NS Bundle</t>
        </is>
      </c>
      <c r="C6" s="3" t="n">
        <v>95</v>
      </c>
      <c r="D6" s="10">
        <f>SUM($C$5:C6)</f>
        <v/>
      </c>
      <c r="E6" s="14">
        <f>D6/$C$15</f>
        <v/>
      </c>
      <c r="F6" s="13">
        <f>IF(E6&lt;=Assumptions!B19,"YES","Hold")</f>
        <v/>
      </c>
    </row>
    <row r="7">
      <c r="A7" t="n">
        <v>3</v>
      </c>
      <c r="B7" t="inlineStr">
        <is>
          <t>Solopreneur Content Batching</t>
        </is>
      </c>
      <c r="C7" s="3" t="n">
        <v>80</v>
      </c>
      <c r="D7" s="10">
        <f>SUM($C$5:C7)</f>
        <v/>
      </c>
      <c r="E7" s="14">
        <f>D7/$C$15</f>
        <v/>
      </c>
      <c r="F7" s="13">
        <f>IF(E7&lt;=Assumptions!B19,"YES","Hold")</f>
        <v/>
      </c>
    </row>
    <row r="8">
      <c r="A8" t="n">
        <v>4</v>
      </c>
      <c r="B8" t="inlineStr">
        <is>
          <t>Perimenopause Mood Awareness</t>
        </is>
      </c>
      <c r="C8" s="3" t="n">
        <v>55</v>
      </c>
      <c r="D8" s="10">
        <f>SUM($C$5:C8)</f>
        <v/>
      </c>
      <c r="E8" s="14">
        <f>D8/$C$15</f>
        <v/>
      </c>
      <c r="F8" s="13">
        <f>IF(E8&lt;=Assumptions!B19,"YES","Hold")</f>
        <v/>
      </c>
    </row>
    <row r="9">
      <c r="A9" t="n">
        <v>5</v>
      </c>
      <c r="B9" t="inlineStr">
        <is>
          <t>ADHD Burnout Recovery</t>
        </is>
      </c>
      <c r="C9" s="3" t="n">
        <v>45</v>
      </c>
      <c r="D9" s="10">
        <f>SUM($C$5:C9)</f>
        <v/>
      </c>
      <c r="E9" s="14">
        <f>D9/$C$15</f>
        <v/>
      </c>
      <c r="F9" s="13">
        <f>IF(E9&lt;=Assumptions!B19,"YES","Hold")</f>
        <v/>
      </c>
    </row>
    <row r="10">
      <c r="A10" t="n">
        <v>6</v>
      </c>
      <c r="B10" t="inlineStr">
        <is>
          <t>Wall Art Calm &amp; Focus</t>
        </is>
      </c>
      <c r="C10" s="3" t="n">
        <v>35</v>
      </c>
      <c r="D10" s="10">
        <f>SUM($C$5:C10)</f>
        <v/>
      </c>
      <c r="E10" s="14">
        <f>D10/$C$15</f>
        <v/>
      </c>
      <c r="F10" s="13">
        <f>IF(E10&lt;=Assumptions!B19,"YES","Hold")</f>
        <v/>
      </c>
    </row>
    <row r="11">
      <c r="A11" t="n">
        <v>7</v>
      </c>
      <c r="B11" t="inlineStr">
        <is>
          <t>Solopreneur Energy Calendar</t>
        </is>
      </c>
      <c r="C11" s="3" t="n">
        <v>30</v>
      </c>
      <c r="D11" s="10">
        <f>SUM($C$5:C11)</f>
        <v/>
      </c>
      <c r="E11" s="14">
        <f>D11/$C$15</f>
        <v/>
      </c>
      <c r="F11" s="13">
        <f>IF(E11&lt;=Assumptions!B19,"YES","Hold")</f>
        <v/>
      </c>
    </row>
    <row r="12">
      <c r="A12" t="n">
        <v>8</v>
      </c>
      <c r="B12" t="inlineStr">
        <is>
          <t>Perimenopause Sleep</t>
        </is>
      </c>
      <c r="C12" s="3" t="n">
        <v>25</v>
      </c>
      <c r="D12" s="10">
        <f>SUM($C$5:C12)</f>
        <v/>
      </c>
      <c r="E12" s="14">
        <f>D12/$C$15</f>
        <v/>
      </c>
      <c r="F12" s="13">
        <f>IF(E12&lt;=Assumptions!B19,"YES","Hold")</f>
        <v/>
      </c>
    </row>
    <row r="13">
      <c r="A13" t="n">
        <v>9</v>
      </c>
      <c r="B13" t="inlineStr">
        <is>
          <t>ADHD Working Memory Journal</t>
        </is>
      </c>
      <c r="C13" s="3" t="n">
        <v>20</v>
      </c>
      <c r="D13" s="10">
        <f>SUM($C$5:C13)</f>
        <v/>
      </c>
      <c r="E13" s="14">
        <f>D13/$C$15</f>
        <v/>
      </c>
      <c r="F13" s="13">
        <f>IF(E13&lt;=Assumptions!B19,"YES","Hold")</f>
        <v/>
      </c>
    </row>
    <row r="14">
      <c r="A14" t="n">
        <v>10</v>
      </c>
      <c r="B14" t="inlineStr">
        <is>
          <t>Crossover Hormone-Aware</t>
        </is>
      </c>
      <c r="C14" s="3" t="n">
        <v>18</v>
      </c>
      <c r="D14" s="10">
        <f>SUM($C$5:C14)</f>
        <v/>
      </c>
      <c r="E14" s="14">
        <f>D14/$C$15</f>
        <v/>
      </c>
      <c r="F14" s="13">
        <f>IF(E14&lt;=Assumptions!B19,"YES","Hold")</f>
        <v/>
      </c>
    </row>
    <row r="15">
      <c r="B15" s="2" t="inlineStr">
        <is>
          <t>TOTAL</t>
        </is>
      </c>
      <c r="C15" s="13">
        <f>SUM(C5:C14)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ROI Tracker — ad spend vs attributed revenue</t>
        </is>
      </c>
    </row>
    <row r="4">
      <c r="D4" s="2" t="inlineStr">
        <is>
          <t>Week</t>
        </is>
      </c>
      <c r="E4" s="2" t="inlineStr">
        <is>
          <t>Channel</t>
        </is>
      </c>
      <c r="F4" s="2" t="inlineStr">
        <is>
          <t>Spend</t>
        </is>
      </c>
      <c r="G4" s="2" t="inlineStr">
        <is>
          <t>Attrib Rev</t>
        </is>
      </c>
      <c r="H4" s="2" t="inlineStr">
        <is>
          <t>ROAS</t>
        </is>
      </c>
      <c r="I4" s="2" t="inlineStr">
        <is>
          <t>Gate</t>
        </is>
      </c>
      <c r="J4" s="2" t="inlineStr">
        <is>
          <t>Notes</t>
        </is>
      </c>
    </row>
    <row r="5">
      <c r="A5" t="inlineStr">
        <is>
          <t>Jun W1</t>
        </is>
      </c>
      <c r="B5" t="inlineStr">
        <is>
          <t>Pinterest</t>
        </is>
      </c>
      <c r="C5" s="3" t="n">
        <v>0</v>
      </c>
      <c r="D5" s="3" t="n">
        <v>0</v>
      </c>
      <c r="E5" s="15">
        <f>IF(C5=0,"-",D5/C5)</f>
        <v/>
      </c>
      <c r="F5" s="13">
        <f>IF(C5=0,"n/a",IF(E5&gt;=Assumptions!B17,"YES","STOP"))</f>
        <v/>
      </c>
      <c r="G5" t="inlineStr">
        <is>
          <t>Pre-launch</t>
        </is>
      </c>
    </row>
    <row r="6">
      <c r="A6" t="inlineStr">
        <is>
          <t>Jun W2</t>
        </is>
      </c>
      <c r="B6" t="inlineStr">
        <is>
          <t>Etsy</t>
        </is>
      </c>
      <c r="C6" s="3" t="n">
        <v>0</v>
      </c>
      <c r="D6" s="3" t="n">
        <v>0</v>
      </c>
      <c r="E6" s="15">
        <f>IF(C6=0,"-",D6/C6)</f>
        <v/>
      </c>
      <c r="F6" s="13">
        <f>IF(C6=0,"n/a",IF(E6&gt;=Assumptions!B17,"YES","STOP"))</f>
        <v/>
      </c>
      <c r="G6" t="inlineStr">
        <is>
          <t>Listing prep</t>
        </is>
      </c>
    </row>
    <row r="7">
      <c r="A7" t="inlineStr">
        <is>
          <t>Jun W3</t>
        </is>
      </c>
      <c r="B7" t="inlineStr">
        <is>
          <t>Pinterest</t>
        </is>
      </c>
      <c r="C7" s="3" t="n">
        <v>25</v>
      </c>
      <c r="D7" s="3" t="n">
        <v>0</v>
      </c>
      <c r="E7" s="15">
        <f>IF(C7=0,"-",D7/C7)</f>
        <v/>
      </c>
      <c r="F7" s="13">
        <f>IF(C7=0,"n/a",IF(E7&gt;=Assumptions!B17,"YES","STOP"))</f>
        <v/>
      </c>
      <c r="G7" t="inlineStr">
        <is>
          <t>Test pins</t>
        </is>
      </c>
    </row>
    <row r="8">
      <c r="A8" t="inlineStr">
        <is>
          <t>Jun W4</t>
        </is>
      </c>
      <c r="B8" t="inlineStr">
        <is>
          <t>Etsy</t>
        </is>
      </c>
      <c r="C8" s="3" t="n">
        <v>35</v>
      </c>
      <c r="D8" s="3" t="n">
        <v>90</v>
      </c>
      <c r="E8" s="15">
        <f>IF(C8=0,"-",D8/C8)</f>
        <v/>
      </c>
      <c r="F8" s="13">
        <f>IF(C8=0,"n/a",IF(E8&gt;=Assumptions!B17,"YES","STOP"))</f>
        <v/>
      </c>
      <c r="G8" t="inlineStr">
        <is>
          <t>Winners</t>
        </is>
      </c>
    </row>
    <row r="9">
      <c r="A9" t="inlineStr">
        <is>
          <t>Jul W1</t>
        </is>
      </c>
      <c r="B9" t="inlineStr">
        <is>
          <t>Pinterest</t>
        </is>
      </c>
      <c r="C9" s="3" t="n">
        <v>50</v>
      </c>
      <c r="D9" s="3" t="n">
        <v>140</v>
      </c>
      <c r="E9" s="15">
        <f>IF(C9=0,"-",D9/C9)</f>
        <v/>
      </c>
      <c r="F9" s="13">
        <f>IF(C9=0,"n/a",IF(E9&gt;=Assumptions!B17,"YES","STOP"))</f>
        <v/>
      </c>
      <c r="G9" t="inlineStr">
        <is>
          <t>Scale if ROAS ok</t>
        </is>
      </c>
    </row>
    <row r="10">
      <c r="A10" s="2" t="inlineStr">
        <is>
          <t>MTD</t>
        </is>
      </c>
      <c r="C10" s="13">
        <f>SUM(C5:C9)</f>
        <v/>
      </c>
      <c r="D10" s="13">
        <f>SUM(D5:D9)</f>
        <v/>
      </c>
      <c r="E10" s="13">
        <f>IF(C10=0,"-",D10/C10)</f>
        <v/>
      </c>
      <c r="F10" s="13">
        <f>IF(C10&lt;=Assumptions!B11,"Within cap","OVER")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2026-06-07T23:56:19Z</dcterms:created>
  <dcterms:modified xmlns:dcterms="http://purl.org/dc/terms/" xmlns:xsi="http://www.w3.org/2001/XMLSchema-instance" xsi:type="dcterms:W3CDTF">2026-06-07T23:56:19Z</dcterms:modified>
</cp:coreProperties>
</file>